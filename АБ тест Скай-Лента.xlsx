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roll\Desktop\"/>
    </mc:Choice>
  </mc:AlternateContent>
  <xr:revisionPtr revIDLastSave="0" documentId="8_{28EF6A2D-8F3C-407C-BE73-39DA53E219FB}" xr6:coauthVersionLast="47" xr6:coauthVersionMax="47" xr10:uidLastSave="{00000000-0000-0000-0000-000000000000}"/>
  <bookViews>
    <workbookView xWindow="7350" yWindow="1140" windowWidth="24630" windowHeight="17340" xr2:uid="{00000000-000D-0000-FFFF-FFFF00000000}"/>
  </bookViews>
  <sheets>
    <sheet name="Положительный" sheetId="1" r:id="rId1"/>
    <sheet name="Отрицательный" sheetId="2" r:id="rId2"/>
    <sheet name="Нейтральный" sheetId="3" r:id="rId3"/>
    <sheet name="Итог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6" i="4"/>
  <c r="B5" i="4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2" i="3"/>
  <c r="O3" i="2"/>
  <c r="O4" i="2"/>
  <c r="O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" i="1"/>
  <c r="B7" i="4" l="1"/>
</calcChain>
</file>

<file path=xl/sharedStrings.xml><?xml version="1.0" encoding="utf-8"?>
<sst xmlns="http://schemas.openxmlformats.org/spreadsheetml/2006/main" count="159" uniqueCount="45">
  <si>
    <t>city</t>
  </si>
  <si>
    <t>id_trading_point</t>
  </si>
  <si>
    <t>count_test</t>
  </si>
  <si>
    <t>count_control</t>
  </si>
  <si>
    <t>count_all</t>
  </si>
  <si>
    <t>avg_test</t>
  </si>
  <si>
    <t>avg_control</t>
  </si>
  <si>
    <t>diff</t>
  </si>
  <si>
    <t>sigma_test</t>
  </si>
  <si>
    <t>sigma_control</t>
  </si>
  <si>
    <t>abs_ttest_s</t>
  </si>
  <si>
    <t>abs_ttest_p</t>
  </si>
  <si>
    <t>nflag_diff</t>
  </si>
  <si>
    <t>percent_count</t>
  </si>
  <si>
    <t>Санкт-Петербург</t>
  </si>
  <si>
    <t>Positive</t>
  </si>
  <si>
    <t>Москва</t>
  </si>
  <si>
    <t>Тюмень</t>
  </si>
  <si>
    <t>Владимир</t>
  </si>
  <si>
    <t>Самара</t>
  </si>
  <si>
    <t>Negative</t>
  </si>
  <si>
    <t>Волгоград</t>
  </si>
  <si>
    <t>Краснодар</t>
  </si>
  <si>
    <t>Красноярск</t>
  </si>
  <si>
    <t>No diff</t>
  </si>
  <si>
    <t>Нижний Новгород</t>
  </si>
  <si>
    <t>Мурманск</t>
  </si>
  <si>
    <t>Казань</t>
  </si>
  <si>
    <t>Саратов</t>
  </si>
  <si>
    <t>Тольятти</t>
  </si>
  <si>
    <t>Сочи</t>
  </si>
  <si>
    <t>Сахалинск</t>
  </si>
  <si>
    <t>Великий Новгород</t>
  </si>
  <si>
    <t>Дмитров</t>
  </si>
  <si>
    <t>Вводные данные</t>
  </si>
  <si>
    <t>Количество клиентов N</t>
  </si>
  <si>
    <t>MDE</t>
  </si>
  <si>
    <t>Расчетные данные</t>
  </si>
  <si>
    <t>баланс</t>
  </si>
  <si>
    <t>количество наблюдений</t>
  </si>
  <si>
    <t>Прибыль</t>
  </si>
  <si>
    <t>Убытки</t>
  </si>
  <si>
    <t>Необходимое количество наблюдений</t>
  </si>
  <si>
    <t>Положительный исход</t>
  </si>
  <si>
    <t>Отрицательный исход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</si>
</sst>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71" formatCode="_-* #,##0\ &quot;₽&quot;_-;\-* #,##0\ &quot;₽&quot;_-;_-* &quot;-&quot;??\ &quot;₽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44" fontId="0" fillId="0" borderId="1" xfId="1" applyFont="1" applyBorder="1"/>
    <xf numFmtId="1" fontId="0" fillId="0" borderId="1" xfId="0" applyNumberFormat="1" applyBorder="1"/>
    <xf numFmtId="0" fontId="1" fillId="3" borderId="1" xfId="0" applyFont="1" applyFill="1" applyBorder="1" applyAlignment="1">
      <alignment horizontal="center" vertical="top"/>
    </xf>
    <xf numFmtId="44" fontId="1" fillId="3" borderId="1" xfId="1" applyFont="1" applyFill="1" applyBorder="1" applyAlignment="1">
      <alignment horizontal="center" vertical="top"/>
    </xf>
    <xf numFmtId="44" fontId="0" fillId="0" borderId="0" xfId="1" applyFont="1"/>
    <xf numFmtId="2" fontId="0" fillId="0" borderId="0" xfId="0" applyNumberFormat="1"/>
    <xf numFmtId="44" fontId="0" fillId="0" borderId="0" xfId="0" applyNumberFormat="1"/>
    <xf numFmtId="0" fontId="1" fillId="3" borderId="2" xfId="0" applyFont="1" applyFill="1" applyBorder="1" applyAlignment="1">
      <alignment horizontal="center" vertical="top"/>
    </xf>
    <xf numFmtId="44" fontId="1" fillId="3" borderId="2" xfId="1" applyFont="1" applyFill="1" applyBorder="1" applyAlignment="1">
      <alignment horizontal="center" vertical="top"/>
    </xf>
    <xf numFmtId="0" fontId="0" fillId="0" borderId="0" xfId="0" applyNumberFormat="1"/>
    <xf numFmtId="171" fontId="0" fillId="0" borderId="1" xfId="0" applyNumberFormat="1" applyBorder="1"/>
    <xf numFmtId="171" fontId="0" fillId="0" borderId="1" xfId="1" applyNumberFormat="1" applyFont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J26" sqref="J26"/>
    </sheetView>
  </sheetViews>
  <sheetFormatPr defaultRowHeight="15" x14ac:dyDescent="0.25"/>
  <cols>
    <col min="1" max="1" width="16.570312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9" width="12" style="8" bestFit="1" customWidth="1"/>
    <col min="10" max="10" width="13.5703125" style="8" bestFit="1" customWidth="1"/>
    <col min="11" max="11" width="11" bestFit="1" customWidth="1"/>
    <col min="12" max="12" width="12" bestFit="1" customWidth="1"/>
    <col min="13" max="13" width="9.5703125" bestFit="1" customWidth="1"/>
    <col min="14" max="14" width="14" bestFit="1" customWidth="1"/>
    <col min="15" max="15" width="18.140625" bestFit="1" customWidth="1"/>
  </cols>
  <sheetData>
    <row r="1" spans="1:1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11" t="s">
        <v>40</v>
      </c>
    </row>
    <row r="2" spans="1:15" x14ac:dyDescent="0.25">
      <c r="A2" t="s">
        <v>14</v>
      </c>
      <c r="B2">
        <v>453</v>
      </c>
      <c r="C2">
        <v>1066</v>
      </c>
      <c r="D2">
        <v>1049</v>
      </c>
      <c r="E2">
        <v>2115</v>
      </c>
      <c r="F2" s="8">
        <v>2501.9662288930581</v>
      </c>
      <c r="G2" s="8">
        <v>1889.9237368922779</v>
      </c>
      <c r="H2" s="8">
        <v>612.0424920007797</v>
      </c>
      <c r="I2" s="8">
        <v>2993.4425401386729</v>
      </c>
      <c r="J2" s="8">
        <v>2648.6593032825899</v>
      </c>
      <c r="K2">
        <v>627565.5</v>
      </c>
      <c r="L2">
        <v>1.809193871310917E-7</v>
      </c>
      <c r="M2" t="s">
        <v>15</v>
      </c>
      <c r="N2" s="9">
        <v>4.6137736960363003E-2</v>
      </c>
      <c r="O2" s="10">
        <f>N2*H2*Итог!$B$2</f>
        <v>28238.25550449705</v>
      </c>
    </row>
    <row r="3" spans="1:15" x14ac:dyDescent="0.25">
      <c r="A3" t="s">
        <v>14</v>
      </c>
      <c r="B3">
        <v>112</v>
      </c>
      <c r="C3">
        <v>652</v>
      </c>
      <c r="D3">
        <v>683</v>
      </c>
      <c r="E3">
        <v>1335</v>
      </c>
      <c r="F3" s="8">
        <v>2488.1150306748468</v>
      </c>
      <c r="G3" s="8">
        <v>2218.6368960468521</v>
      </c>
      <c r="H3" s="8">
        <v>269.47813462799468</v>
      </c>
      <c r="I3" s="8">
        <v>2778.1791825699402</v>
      </c>
      <c r="J3" s="8">
        <v>2780.7906600356741</v>
      </c>
      <c r="K3">
        <v>236077</v>
      </c>
      <c r="L3">
        <v>4.5325599351464997E-2</v>
      </c>
      <c r="M3" t="s">
        <v>15</v>
      </c>
      <c r="N3" s="9">
        <v>2.9122401343775219E-2</v>
      </c>
      <c r="O3" s="10">
        <f>N3*H3*Итог!$B$2</f>
        <v>7847.8503900083524</v>
      </c>
    </row>
    <row r="4" spans="1:15" x14ac:dyDescent="0.25">
      <c r="A4" t="s">
        <v>14</v>
      </c>
      <c r="B4">
        <v>801</v>
      </c>
      <c r="C4">
        <v>225</v>
      </c>
      <c r="D4">
        <v>212</v>
      </c>
      <c r="E4">
        <v>437</v>
      </c>
      <c r="F4" s="8">
        <v>2925.1422222222218</v>
      </c>
      <c r="G4" s="8">
        <v>2352.283018867925</v>
      </c>
      <c r="H4" s="8">
        <v>572.85920335429773</v>
      </c>
      <c r="I4" s="8">
        <v>2774.2920633734352</v>
      </c>
      <c r="J4" s="8">
        <v>2928.2858378165042</v>
      </c>
      <c r="K4">
        <v>27281.5</v>
      </c>
      <c r="L4">
        <v>7.0848473855692562E-3</v>
      </c>
      <c r="M4" t="s">
        <v>15</v>
      </c>
      <c r="N4" s="9">
        <v>9.5329508518575082E-3</v>
      </c>
      <c r="O4" s="10">
        <f>N4*H4*Итог!$B$2</f>
        <v>5461.0386306107666</v>
      </c>
    </row>
    <row r="5" spans="1:15" x14ac:dyDescent="0.25">
      <c r="A5" t="s">
        <v>14</v>
      </c>
      <c r="B5">
        <v>573</v>
      </c>
      <c r="C5">
        <v>177</v>
      </c>
      <c r="D5">
        <v>160</v>
      </c>
      <c r="E5">
        <v>337</v>
      </c>
      <c r="F5" s="8">
        <v>2929.0451977401131</v>
      </c>
      <c r="G5" s="8">
        <v>1641.2125000000001</v>
      </c>
      <c r="H5" s="8">
        <v>1287.832697740113</v>
      </c>
      <c r="I5" s="8">
        <v>3201.0981368955968</v>
      </c>
      <c r="J5" s="8">
        <v>2619.0447809502271</v>
      </c>
      <c r="K5">
        <v>17837.5</v>
      </c>
      <c r="L5">
        <v>1.1182839846707289E-5</v>
      </c>
      <c r="M5" t="s">
        <v>15</v>
      </c>
      <c r="N5" s="9">
        <v>7.3514975676795876E-3</v>
      </c>
      <c r="O5" s="10">
        <f>N5*H5*Итог!$B$2</f>
        <v>9467.4989450146822</v>
      </c>
    </row>
    <row r="6" spans="1:15" x14ac:dyDescent="0.25">
      <c r="A6" t="s">
        <v>14</v>
      </c>
      <c r="B6">
        <v>900</v>
      </c>
      <c r="C6">
        <v>335</v>
      </c>
      <c r="D6">
        <v>341</v>
      </c>
      <c r="E6">
        <v>676</v>
      </c>
      <c r="F6" s="8">
        <v>2450.991044776119</v>
      </c>
      <c r="G6" s="8">
        <v>1689.7917888563049</v>
      </c>
      <c r="H6" s="8">
        <v>761.1992559198145</v>
      </c>
      <c r="I6" s="8">
        <v>2865.6073558468579</v>
      </c>
      <c r="J6" s="8">
        <v>2492.4726113410602</v>
      </c>
      <c r="K6">
        <v>66271.5</v>
      </c>
      <c r="L6">
        <v>1.010571453661005E-4</v>
      </c>
      <c r="M6" t="s">
        <v>15</v>
      </c>
      <c r="N6" s="9">
        <v>1.4746624201042729E-2</v>
      </c>
      <c r="O6" s="10">
        <f>N6*H6*Итог!$B$2</f>
        <v>11225.119369162854</v>
      </c>
    </row>
    <row r="7" spans="1:15" x14ac:dyDescent="0.25">
      <c r="A7" t="s">
        <v>14</v>
      </c>
      <c r="B7">
        <v>117</v>
      </c>
      <c r="C7">
        <v>625</v>
      </c>
      <c r="D7">
        <v>587</v>
      </c>
      <c r="E7">
        <v>1212</v>
      </c>
      <c r="F7" s="8">
        <v>2582.2975999999999</v>
      </c>
      <c r="G7" s="8">
        <v>2050.6916524701869</v>
      </c>
      <c r="H7" s="8">
        <v>531.60594752981251</v>
      </c>
      <c r="I7" s="8">
        <v>2835.004503186402</v>
      </c>
      <c r="J7" s="8">
        <v>2595.7377919626342</v>
      </c>
      <c r="K7">
        <v>204047</v>
      </c>
      <c r="L7">
        <v>3.7312135586840969E-4</v>
      </c>
      <c r="M7" t="s">
        <v>15</v>
      </c>
      <c r="N7" s="9">
        <v>2.6439213804236378E-2</v>
      </c>
      <c r="O7" s="10">
        <f>N7*H7*Итог!$B$2</f>
        <v>14055.243306344379</v>
      </c>
    </row>
    <row r="8" spans="1:15" x14ac:dyDescent="0.25">
      <c r="A8" t="s">
        <v>14</v>
      </c>
      <c r="B8">
        <v>213</v>
      </c>
      <c r="C8">
        <v>232</v>
      </c>
      <c r="D8">
        <v>255</v>
      </c>
      <c r="E8">
        <v>487</v>
      </c>
      <c r="F8" s="8">
        <v>2977.629310344827</v>
      </c>
      <c r="G8" s="8">
        <v>2277.6117647058818</v>
      </c>
      <c r="H8" s="8">
        <v>700.01754563894519</v>
      </c>
      <c r="I8" s="8">
        <v>2905.494362359007</v>
      </c>
      <c r="J8" s="8">
        <v>2710.043413201317</v>
      </c>
      <c r="K8">
        <v>34134.5</v>
      </c>
      <c r="L8">
        <v>2.4676085985883291E-3</v>
      </c>
      <c r="M8" t="s">
        <v>15</v>
      </c>
      <c r="N8" s="9">
        <v>1.062367749394647E-2</v>
      </c>
      <c r="O8" s="10">
        <f>N8*H8*Итог!$B$2</f>
        <v>7436.7606449721079</v>
      </c>
    </row>
    <row r="9" spans="1:15" x14ac:dyDescent="0.25">
      <c r="A9" t="s">
        <v>14</v>
      </c>
      <c r="B9">
        <v>891</v>
      </c>
      <c r="C9">
        <v>159</v>
      </c>
      <c r="D9">
        <v>167</v>
      </c>
      <c r="E9">
        <v>326</v>
      </c>
      <c r="F9" s="8">
        <v>2618.949685534591</v>
      </c>
      <c r="G9" s="8">
        <v>1980.65868263473</v>
      </c>
      <c r="H9" s="8">
        <v>638.29100289986059</v>
      </c>
      <c r="I9" s="8">
        <v>2899.78246412116</v>
      </c>
      <c r="J9" s="8">
        <v>2489.571942139818</v>
      </c>
      <c r="K9">
        <v>15026</v>
      </c>
      <c r="L9">
        <v>3.1316295810751342E-2</v>
      </c>
      <c r="M9" t="s">
        <v>15</v>
      </c>
      <c r="N9" s="9">
        <v>7.1115377064200173E-3</v>
      </c>
      <c r="O9" s="10">
        <f>N9*H9*Итог!$B$2</f>
        <v>4539.2305347910069</v>
      </c>
    </row>
    <row r="10" spans="1:15" x14ac:dyDescent="0.25">
      <c r="A10" t="s">
        <v>16</v>
      </c>
      <c r="B10">
        <v>2652</v>
      </c>
      <c r="C10">
        <v>2273</v>
      </c>
      <c r="D10">
        <v>2370</v>
      </c>
      <c r="E10">
        <v>4643</v>
      </c>
      <c r="F10" s="8">
        <v>2508.8895732512101</v>
      </c>
      <c r="G10" s="8">
        <v>1972.847679324894</v>
      </c>
      <c r="H10" s="8">
        <v>536.0418939263152</v>
      </c>
      <c r="I10" s="8">
        <v>2846.6364983182448</v>
      </c>
      <c r="J10" s="8">
        <v>2565.8782422552181</v>
      </c>
      <c r="K10">
        <v>3010947.5</v>
      </c>
      <c r="L10">
        <v>2.5003540613850998E-13</v>
      </c>
      <c r="M10" t="s">
        <v>15</v>
      </c>
      <c r="N10" s="9">
        <v>0.1012848759843808</v>
      </c>
      <c r="O10" s="10">
        <f>N10*H10*Итог!$B$2</f>
        <v>54292.936748759435</v>
      </c>
    </row>
    <row r="11" spans="1:15" x14ac:dyDescent="0.25">
      <c r="A11" t="s">
        <v>16</v>
      </c>
      <c r="B11">
        <v>1287</v>
      </c>
      <c r="C11">
        <v>370</v>
      </c>
      <c r="D11">
        <v>357</v>
      </c>
      <c r="E11">
        <v>727</v>
      </c>
      <c r="F11" s="8">
        <v>2143.4891891891889</v>
      </c>
      <c r="G11" s="8">
        <v>1394.6554621848741</v>
      </c>
      <c r="H11" s="8">
        <v>748.83372700431551</v>
      </c>
      <c r="I11" s="8">
        <v>2441.221897644979</v>
      </c>
      <c r="J11" s="8">
        <v>2338.4617787149841</v>
      </c>
      <c r="K11">
        <v>79421.5</v>
      </c>
      <c r="L11">
        <v>2.6139283083084931E-7</v>
      </c>
      <c r="M11" t="s">
        <v>15</v>
      </c>
      <c r="N11" s="9">
        <v>1.5859165375973469E-2</v>
      </c>
      <c r="O11" s="10">
        <f>N11*H11*Итог!$B$2</f>
        <v>11875.87791566801</v>
      </c>
    </row>
    <row r="12" spans="1:15" x14ac:dyDescent="0.25">
      <c r="A12" t="s">
        <v>16</v>
      </c>
      <c r="B12">
        <v>1654</v>
      </c>
      <c r="C12">
        <v>799</v>
      </c>
      <c r="D12">
        <v>775</v>
      </c>
      <c r="E12">
        <v>1574</v>
      </c>
      <c r="F12" s="8">
        <v>3176.4330413016269</v>
      </c>
      <c r="G12" s="8">
        <v>2507.8864516129029</v>
      </c>
      <c r="H12" s="8">
        <v>668.54658968872354</v>
      </c>
      <c r="I12" s="8">
        <v>3208.0517628292828</v>
      </c>
      <c r="J12" s="8">
        <v>2950.5128884516971</v>
      </c>
      <c r="K12">
        <v>353743</v>
      </c>
      <c r="L12">
        <v>4.6118029118028101E-7</v>
      </c>
      <c r="M12" t="s">
        <v>15</v>
      </c>
      <c r="N12" s="9">
        <v>3.4336074692960447E-2</v>
      </c>
      <c r="O12" s="10">
        <f>N12*H12*Итог!$B$2</f>
        <v>22955.265639275993</v>
      </c>
    </row>
    <row r="13" spans="1:15" x14ac:dyDescent="0.25">
      <c r="A13" t="s">
        <v>16</v>
      </c>
      <c r="B13">
        <v>1002</v>
      </c>
      <c r="C13">
        <v>138</v>
      </c>
      <c r="D13">
        <v>188</v>
      </c>
      <c r="E13">
        <v>326</v>
      </c>
      <c r="F13" s="8">
        <v>4144.855072463768</v>
      </c>
      <c r="G13" s="8">
        <v>1844.7872340425531</v>
      </c>
      <c r="H13" s="8">
        <v>2300.0678384212151</v>
      </c>
      <c r="I13" s="8">
        <v>4069.769784107084</v>
      </c>
      <c r="J13" s="8">
        <v>2436.536120119913</v>
      </c>
      <c r="K13">
        <v>17848</v>
      </c>
      <c r="L13">
        <v>1.171243657937361E-9</v>
      </c>
      <c r="M13" t="s">
        <v>15</v>
      </c>
      <c r="N13" s="9">
        <v>7.1115377064200173E-3</v>
      </c>
      <c r="O13" s="10">
        <f>N13*H13*Итог!$B$2</f>
        <v>16357.019160256456</v>
      </c>
    </row>
    <row r="14" spans="1:15" x14ac:dyDescent="0.25">
      <c r="A14" t="s">
        <v>17</v>
      </c>
      <c r="B14">
        <v>19</v>
      </c>
      <c r="C14">
        <v>130</v>
      </c>
      <c r="D14">
        <v>146</v>
      </c>
      <c r="E14">
        <v>276</v>
      </c>
      <c r="F14" s="8">
        <v>2043.823076923077</v>
      </c>
      <c r="G14" s="8">
        <v>1743.3767123287671</v>
      </c>
      <c r="H14" s="8">
        <v>300.4463645943099</v>
      </c>
      <c r="I14" s="8">
        <v>2442.2667875313782</v>
      </c>
      <c r="J14" s="8">
        <v>2891.3333593759398</v>
      </c>
      <c r="K14">
        <v>10741</v>
      </c>
      <c r="L14">
        <v>3.8066216007540718E-2</v>
      </c>
      <c r="M14" t="s">
        <v>15</v>
      </c>
      <c r="N14" s="9">
        <v>6.020811064331057E-3</v>
      </c>
      <c r="O14" s="10">
        <f>N14*H14*Итог!$B$2</f>
        <v>1808.9307961874638</v>
      </c>
    </row>
    <row r="15" spans="1:15" x14ac:dyDescent="0.25">
      <c r="A15" t="s">
        <v>18</v>
      </c>
      <c r="B15">
        <v>11</v>
      </c>
      <c r="C15">
        <v>509</v>
      </c>
      <c r="D15">
        <v>608</v>
      </c>
      <c r="E15">
        <v>1117</v>
      </c>
      <c r="F15" s="8">
        <v>2547.2200392927311</v>
      </c>
      <c r="G15" s="8">
        <v>2108.6101973684208</v>
      </c>
      <c r="H15" s="8">
        <v>438.60984192430942</v>
      </c>
      <c r="I15" s="8">
        <v>3023.7021636269142</v>
      </c>
      <c r="J15" s="8">
        <v>2663.038391974123</v>
      </c>
      <c r="K15">
        <v>165625</v>
      </c>
      <c r="L15">
        <v>3.1667614118864262E-2</v>
      </c>
      <c r="M15" t="s">
        <v>15</v>
      </c>
      <c r="N15" s="9">
        <v>2.4366833184267359E-2</v>
      </c>
      <c r="O15" s="10">
        <f>N15*H15*Итог!$B$2</f>
        <v>10687.532851147524</v>
      </c>
    </row>
    <row r="16" spans="1:15" x14ac:dyDescent="0.25">
      <c r="A16" t="s">
        <v>19</v>
      </c>
      <c r="B16">
        <v>33</v>
      </c>
      <c r="C16">
        <v>232</v>
      </c>
      <c r="D16">
        <v>258</v>
      </c>
      <c r="E16">
        <v>490</v>
      </c>
      <c r="F16" s="8">
        <v>4598.2198275862074</v>
      </c>
      <c r="G16" s="8">
        <v>2311.3875968992252</v>
      </c>
      <c r="H16" s="8">
        <v>2286.8322306869818</v>
      </c>
      <c r="I16" s="8">
        <v>2931.2349256860789</v>
      </c>
      <c r="J16" s="8">
        <v>2371.771295626133</v>
      </c>
      <c r="K16">
        <v>43450</v>
      </c>
      <c r="L16">
        <v>3.466349057214465E-18</v>
      </c>
      <c r="M16" t="s">
        <v>15</v>
      </c>
      <c r="N16" s="9">
        <v>1.06891210924718E-2</v>
      </c>
      <c r="O16" s="10">
        <f>N16*H16*Итог!$B$2</f>
        <v>24444.226631980557</v>
      </c>
    </row>
    <row r="17" spans="1:15" x14ac:dyDescent="0.25">
      <c r="A17" t="s">
        <v>19</v>
      </c>
      <c r="B17">
        <v>34</v>
      </c>
      <c r="C17">
        <v>225</v>
      </c>
      <c r="D17">
        <v>253</v>
      </c>
      <c r="E17">
        <v>478</v>
      </c>
      <c r="F17" s="8">
        <v>3104.5066666666671</v>
      </c>
      <c r="G17" s="8">
        <v>1752.608695652174</v>
      </c>
      <c r="H17" s="8">
        <v>1351.8979710144929</v>
      </c>
      <c r="I17" s="8">
        <v>2956.8269145922532</v>
      </c>
      <c r="J17" s="8">
        <v>2529.7007981220449</v>
      </c>
      <c r="K17">
        <v>36596.5</v>
      </c>
      <c r="L17">
        <v>1.4503145247971589E-8</v>
      </c>
      <c r="M17" t="s">
        <v>15</v>
      </c>
      <c r="N17" s="9">
        <v>1.0427346698370451E-2</v>
      </c>
      <c r="O17" s="10">
        <f>N17*H17*Итог!$B$2</f>
        <v>14096.708844591683</v>
      </c>
    </row>
    <row r="18" spans="1:15" x14ac:dyDescent="0.25">
      <c r="A18" t="s">
        <v>19</v>
      </c>
      <c r="B18">
        <v>35</v>
      </c>
      <c r="C18">
        <v>214</v>
      </c>
      <c r="D18">
        <v>194</v>
      </c>
      <c r="E18">
        <v>408</v>
      </c>
      <c r="F18" s="8">
        <v>2762.2242990654199</v>
      </c>
      <c r="G18" s="8">
        <v>1508.8350515463919</v>
      </c>
      <c r="H18" s="8">
        <v>1253.3892475190289</v>
      </c>
      <c r="I18" s="8">
        <v>2977.0835472163549</v>
      </c>
      <c r="J18" s="8">
        <v>2184.8080940632271</v>
      </c>
      <c r="K18">
        <v>26311.5</v>
      </c>
      <c r="L18">
        <v>8.3157350943952545E-7</v>
      </c>
      <c r="M18" t="s">
        <v>15</v>
      </c>
      <c r="N18" s="9">
        <v>8.9003293994459106E-3</v>
      </c>
      <c r="O18" s="10">
        <f>N18*H18*Итог!$B$2</f>
        <v>11155.577168643002</v>
      </c>
    </row>
    <row r="19" spans="1:15" x14ac:dyDescent="0.25">
      <c r="A19" t="s">
        <v>19</v>
      </c>
      <c r="B19">
        <v>36</v>
      </c>
      <c r="C19">
        <v>131</v>
      </c>
      <c r="D19">
        <v>141</v>
      </c>
      <c r="E19">
        <v>272</v>
      </c>
      <c r="F19" s="8">
        <v>1987.3282442748091</v>
      </c>
      <c r="G19" s="8">
        <v>860.41843971631204</v>
      </c>
      <c r="H19" s="8">
        <v>1126.9098045584969</v>
      </c>
      <c r="I19" s="8">
        <v>2718.5026632115769</v>
      </c>
      <c r="J19" s="8">
        <v>1840.8266394516061</v>
      </c>
      <c r="K19">
        <v>11444</v>
      </c>
      <c r="L19">
        <v>5.6207146925612043E-5</v>
      </c>
      <c r="M19" t="s">
        <v>15</v>
      </c>
      <c r="N19" s="9">
        <v>5.9335529329639404E-3</v>
      </c>
      <c r="O19" s="10">
        <f>N19*H19*Итог!$B$2</f>
        <v>6686.5789760238904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K9" sqref="K9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7" width="12" style="8" bestFit="1" customWidth="1"/>
    <col min="8" max="8" width="12.7109375" style="8" bestFit="1" customWidth="1"/>
    <col min="9" max="9" width="12" style="8" bestFit="1" customWidth="1"/>
    <col min="10" max="10" width="13.5703125" style="8" bestFit="1" customWidth="1"/>
    <col min="11" max="11" width="11" bestFit="1" customWidth="1"/>
    <col min="12" max="12" width="12" bestFit="1" customWidth="1"/>
    <col min="13" max="13" width="9.5703125" bestFit="1" customWidth="1"/>
    <col min="14" max="14" width="14" bestFit="1" customWidth="1"/>
    <col min="15" max="15" width="12" style="8" bestFit="1" customWidth="1"/>
  </cols>
  <sheetData>
    <row r="1" spans="1:1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12" t="s">
        <v>41</v>
      </c>
    </row>
    <row r="2" spans="1:15" x14ac:dyDescent="0.25">
      <c r="A2" t="s">
        <v>16</v>
      </c>
      <c r="B2">
        <v>9931</v>
      </c>
      <c r="C2">
        <v>153</v>
      </c>
      <c r="D2">
        <v>137</v>
      </c>
      <c r="E2">
        <v>290</v>
      </c>
      <c r="F2" s="8">
        <v>1415.7843137254899</v>
      </c>
      <c r="G2" s="8">
        <v>1968.693430656934</v>
      </c>
      <c r="H2" s="8">
        <v>-552.90911693144403</v>
      </c>
      <c r="I2" s="8">
        <v>2038.1642473623181</v>
      </c>
      <c r="J2" s="8">
        <v>2403.3978568404682</v>
      </c>
      <c r="K2">
        <v>9045</v>
      </c>
      <c r="L2">
        <v>2.61572590009738E-2</v>
      </c>
      <c r="M2" t="s">
        <v>20</v>
      </c>
      <c r="N2" s="9">
        <v>6.326214524115966E-3</v>
      </c>
      <c r="O2" s="8">
        <f>H2*N2*Итог!$B$2</f>
        <v>-3497.8216860478342</v>
      </c>
    </row>
    <row r="3" spans="1:15" x14ac:dyDescent="0.25">
      <c r="A3" t="s">
        <v>21</v>
      </c>
      <c r="B3">
        <v>66</v>
      </c>
      <c r="C3">
        <v>657</v>
      </c>
      <c r="D3">
        <v>703</v>
      </c>
      <c r="E3">
        <v>1360</v>
      </c>
      <c r="F3" s="8">
        <v>2288.8706240487058</v>
      </c>
      <c r="G3" s="8">
        <v>2601.7610241820771</v>
      </c>
      <c r="H3" s="8">
        <v>-312.89040013337029</v>
      </c>
      <c r="I3" s="8">
        <v>2682.5676104733539</v>
      </c>
      <c r="J3" s="8">
        <v>2830.193773341512</v>
      </c>
      <c r="K3">
        <v>216128</v>
      </c>
      <c r="L3">
        <v>3.3239401593245371E-2</v>
      </c>
      <c r="M3" t="s">
        <v>20</v>
      </c>
      <c r="N3" s="9">
        <v>2.9667764664819699E-2</v>
      </c>
      <c r="O3" s="8">
        <f>H3*N3*Итог!$B$2</f>
        <v>-9282.7587570380983</v>
      </c>
    </row>
    <row r="4" spans="1:15" x14ac:dyDescent="0.25">
      <c r="A4" t="s">
        <v>22</v>
      </c>
      <c r="B4">
        <v>1101</v>
      </c>
      <c r="C4">
        <v>785</v>
      </c>
      <c r="D4">
        <v>869</v>
      </c>
      <c r="E4">
        <v>1654</v>
      </c>
      <c r="F4" s="8">
        <v>2176.0038216560511</v>
      </c>
      <c r="G4" s="8">
        <v>2523.5788262370538</v>
      </c>
      <c r="H4" s="8">
        <v>-347.57500458100321</v>
      </c>
      <c r="I4" s="8">
        <v>2722.6244937401721</v>
      </c>
      <c r="J4" s="8">
        <v>2960.3523376384169</v>
      </c>
      <c r="K4">
        <v>319375</v>
      </c>
      <c r="L4">
        <v>1.8165059503709748E-2</v>
      </c>
      <c r="M4" t="s">
        <v>20</v>
      </c>
      <c r="N4" s="9">
        <v>3.6081237320302793E-2</v>
      </c>
      <c r="O4" s="8">
        <f>H4*N4*Итог!$B$2</f>
        <v>-12540.936226892507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workbookViewId="0">
      <selection activeCell="O2" sqref="O2"/>
    </sheetView>
  </sheetViews>
  <sheetFormatPr defaultRowHeight="15" x14ac:dyDescent="0.25"/>
  <cols>
    <col min="1" max="1" width="18.28515625" bestFit="1" customWidth="1"/>
    <col min="2" max="2" width="15.85546875" bestFit="1" customWidth="1"/>
    <col min="3" max="3" width="10.42578125" bestFit="1" customWidth="1"/>
    <col min="4" max="4" width="13.42578125" bestFit="1" customWidth="1"/>
    <col min="6" max="7" width="12" style="8" bestFit="1" customWidth="1"/>
    <col min="8" max="8" width="9.5703125" style="8" bestFit="1" customWidth="1"/>
    <col min="9" max="9" width="12" style="8" bestFit="1" customWidth="1"/>
    <col min="10" max="10" width="13.5703125" style="8" bestFit="1" customWidth="1"/>
    <col min="11" max="11" width="11" bestFit="1" customWidth="1"/>
    <col min="12" max="12" width="12" bestFit="1" customWidth="1"/>
    <col min="13" max="13" width="9.5703125" bestFit="1" customWidth="1"/>
    <col min="14" max="14" width="14" bestFit="1" customWidth="1"/>
    <col min="15" max="15" width="38.28515625" style="13" bestFit="1" customWidth="1"/>
  </cols>
  <sheetData>
    <row r="1" spans="1:1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11" t="s">
        <v>42</v>
      </c>
    </row>
    <row r="2" spans="1:15" x14ac:dyDescent="0.25">
      <c r="A2" t="s">
        <v>23</v>
      </c>
      <c r="B2">
        <v>212</v>
      </c>
      <c r="C2">
        <v>593</v>
      </c>
      <c r="D2">
        <v>575</v>
      </c>
      <c r="E2">
        <v>1168</v>
      </c>
      <c r="F2" s="8">
        <v>2144.317032040472</v>
      </c>
      <c r="G2" s="8">
        <v>2222.052173913044</v>
      </c>
      <c r="H2" s="8">
        <v>-77.735141872571603</v>
      </c>
      <c r="I2" s="8">
        <v>2708.5887239801191</v>
      </c>
      <c r="J2" s="8">
        <v>2785.1162501572312</v>
      </c>
      <c r="K2">
        <v>169439</v>
      </c>
      <c r="L2">
        <v>0.84688540977054894</v>
      </c>
      <c r="M2" t="s">
        <v>24</v>
      </c>
      <c r="N2" s="9">
        <v>2.5479374359198101E-2</v>
      </c>
      <c r="O2" s="13">
        <f>16 * (MIN(I2, J2)^2) / (Итог!$B$3^2)</f>
        <v>117.383246010756</v>
      </c>
    </row>
    <row r="3" spans="1:15" x14ac:dyDescent="0.25">
      <c r="A3" t="s">
        <v>23</v>
      </c>
      <c r="B3">
        <v>278</v>
      </c>
      <c r="C3">
        <v>535</v>
      </c>
      <c r="D3">
        <v>489</v>
      </c>
      <c r="E3">
        <v>1024</v>
      </c>
      <c r="F3" s="8">
        <v>2499.3457943925232</v>
      </c>
      <c r="G3" s="8">
        <v>2185.21472392638</v>
      </c>
      <c r="H3" s="8">
        <v>314.13107046614277</v>
      </c>
      <c r="I3" s="8">
        <v>2915.9953289536438</v>
      </c>
      <c r="J3" s="8">
        <v>2574.9155972376111</v>
      </c>
      <c r="K3">
        <v>136856.5</v>
      </c>
      <c r="L3">
        <v>0.1782203706588702</v>
      </c>
      <c r="M3" t="s">
        <v>24</v>
      </c>
      <c r="N3" s="9">
        <v>2.2338081629981889E-2</v>
      </c>
      <c r="O3" s="13">
        <f>16 * (MIN(I3, J3)^2) / (Итог!$B$3^2)</f>
        <v>106.08304532636038</v>
      </c>
    </row>
    <row r="4" spans="1:15" x14ac:dyDescent="0.25">
      <c r="A4" t="s">
        <v>23</v>
      </c>
      <c r="B4">
        <v>202</v>
      </c>
      <c r="C4">
        <v>551</v>
      </c>
      <c r="D4">
        <v>565</v>
      </c>
      <c r="E4">
        <v>1116</v>
      </c>
      <c r="F4" s="8">
        <v>2927.341197822142</v>
      </c>
      <c r="G4" s="8">
        <v>2730.378761061947</v>
      </c>
      <c r="H4" s="8">
        <v>196.96243676019461</v>
      </c>
      <c r="I4" s="8">
        <v>2956.686241494881</v>
      </c>
      <c r="J4" s="8">
        <v>2737.8857851630301</v>
      </c>
      <c r="K4">
        <v>159950</v>
      </c>
      <c r="L4">
        <v>0.41423301365101112</v>
      </c>
      <c r="M4" t="s">
        <v>24</v>
      </c>
      <c r="N4" s="9">
        <v>2.434501865142558E-2</v>
      </c>
      <c r="O4" s="13">
        <f>16 * (MIN(I4, J4)^2) / (Итог!$B$3^2)</f>
        <v>119.9362971615645</v>
      </c>
    </row>
    <row r="5" spans="1:15" x14ac:dyDescent="0.25">
      <c r="A5" t="s">
        <v>23</v>
      </c>
      <c r="B5">
        <v>444</v>
      </c>
      <c r="C5">
        <v>650</v>
      </c>
      <c r="D5">
        <v>562</v>
      </c>
      <c r="E5">
        <v>1212</v>
      </c>
      <c r="F5" s="8">
        <v>2404.106153846154</v>
      </c>
      <c r="G5" s="8">
        <v>2545.7348754448399</v>
      </c>
      <c r="H5" s="8">
        <v>-141.62872159868579</v>
      </c>
      <c r="I5" s="8">
        <v>2810.8284873546108</v>
      </c>
      <c r="J5" s="8">
        <v>2797.138763933518</v>
      </c>
      <c r="K5">
        <v>176313</v>
      </c>
      <c r="L5">
        <v>0.27663524008058299</v>
      </c>
      <c r="M5" t="s">
        <v>24</v>
      </c>
      <c r="N5" s="9">
        <v>2.6439213804236378E-2</v>
      </c>
      <c r="O5" s="13">
        <f>16 * (MIN(I5, J5)^2) / (Итог!$B$3^2)</f>
        <v>125.18376423519246</v>
      </c>
    </row>
    <row r="6" spans="1:15" x14ac:dyDescent="0.25">
      <c r="A6" t="s">
        <v>23</v>
      </c>
      <c r="B6">
        <v>277</v>
      </c>
      <c r="C6">
        <v>708</v>
      </c>
      <c r="D6">
        <v>709</v>
      </c>
      <c r="E6">
        <v>1417</v>
      </c>
      <c r="F6" s="8">
        <v>2285.75</v>
      </c>
      <c r="G6" s="8">
        <v>2431.3653032440061</v>
      </c>
      <c r="H6" s="8">
        <v>-145.61530324400559</v>
      </c>
      <c r="I6" s="8">
        <v>2712.677878262808</v>
      </c>
      <c r="J6" s="8">
        <v>2868.5875686413842</v>
      </c>
      <c r="K6">
        <v>246121.5</v>
      </c>
      <c r="L6">
        <v>0.50599421881188511</v>
      </c>
      <c r="M6" t="s">
        <v>24</v>
      </c>
      <c r="N6" s="9">
        <v>3.0911193036801121E-2</v>
      </c>
      <c r="O6" s="13">
        <f>16 * (MIN(I6, J6)^2) / (Итог!$B$3^2)</f>
        <v>117.73794033946257</v>
      </c>
    </row>
    <row r="7" spans="1:15" x14ac:dyDescent="0.25">
      <c r="A7" t="s">
        <v>25</v>
      </c>
      <c r="B7">
        <v>13</v>
      </c>
      <c r="C7">
        <v>142</v>
      </c>
      <c r="D7">
        <v>150</v>
      </c>
      <c r="E7">
        <v>292</v>
      </c>
      <c r="F7" s="8">
        <v>1970.549295774648</v>
      </c>
      <c r="G7" s="8">
        <v>2336.186666666666</v>
      </c>
      <c r="H7" s="8">
        <v>-365.63737089201868</v>
      </c>
      <c r="I7" s="8">
        <v>2575.9447611403261</v>
      </c>
      <c r="J7" s="8">
        <v>2709.895464406135</v>
      </c>
      <c r="K7">
        <v>9725</v>
      </c>
      <c r="L7">
        <v>0.168614585935178</v>
      </c>
      <c r="M7" t="s">
        <v>24</v>
      </c>
      <c r="N7" s="9">
        <v>6.3698435897995244E-3</v>
      </c>
      <c r="O7" s="13">
        <f>16 * (MIN(I7, J7)^2) / (Итог!$B$3^2)</f>
        <v>106.16786259914068</v>
      </c>
    </row>
    <row r="8" spans="1:15" x14ac:dyDescent="0.25">
      <c r="A8" t="s">
        <v>26</v>
      </c>
      <c r="B8">
        <v>54</v>
      </c>
      <c r="C8">
        <v>633</v>
      </c>
      <c r="D8">
        <v>640</v>
      </c>
      <c r="E8">
        <v>1273</v>
      </c>
      <c r="F8" s="8">
        <v>1702.7140600315961</v>
      </c>
      <c r="G8" s="8">
        <v>1688.5125</v>
      </c>
      <c r="H8" s="8">
        <v>14.201560031595591</v>
      </c>
      <c r="I8" s="8">
        <v>2565.132439533973</v>
      </c>
      <c r="J8" s="8">
        <v>2628.01249032338</v>
      </c>
      <c r="K8">
        <v>204686</v>
      </c>
      <c r="L8">
        <v>0.71170696573546</v>
      </c>
      <c r="M8" t="s">
        <v>24</v>
      </c>
      <c r="N8" s="9">
        <v>2.7769900307584909E-2</v>
      </c>
      <c r="O8" s="13">
        <f>16 * (MIN(I8, J8)^2) / (Итог!$B$3^2)</f>
        <v>105.27847091759219</v>
      </c>
    </row>
    <row r="9" spans="1:15" x14ac:dyDescent="0.25">
      <c r="A9" t="s">
        <v>26</v>
      </c>
      <c r="B9">
        <v>55</v>
      </c>
      <c r="C9">
        <v>422</v>
      </c>
      <c r="D9">
        <v>425</v>
      </c>
      <c r="E9">
        <v>847</v>
      </c>
      <c r="F9" s="8">
        <v>2109.1066350710898</v>
      </c>
      <c r="G9" s="8">
        <v>2111.2729411764708</v>
      </c>
      <c r="H9" s="8">
        <v>-2.1663061053809538</v>
      </c>
      <c r="I9" s="8">
        <v>2790.9933852461841</v>
      </c>
      <c r="J9" s="8">
        <v>2804.2231882427632</v>
      </c>
      <c r="K9">
        <v>90987.5</v>
      </c>
      <c r="L9">
        <v>0.69231313543259865</v>
      </c>
      <c r="M9" t="s">
        <v>24</v>
      </c>
      <c r="N9" s="9">
        <v>1.8476909316986981E-2</v>
      </c>
      <c r="O9" s="13">
        <f>16 * (MIN(I9, J9)^2) / (Итог!$B$3^2)</f>
        <v>124.63430522380727</v>
      </c>
    </row>
    <row r="10" spans="1:15" x14ac:dyDescent="0.25">
      <c r="A10" t="s">
        <v>27</v>
      </c>
      <c r="B10">
        <v>991</v>
      </c>
      <c r="C10">
        <v>270</v>
      </c>
      <c r="D10">
        <v>294</v>
      </c>
      <c r="E10">
        <v>564</v>
      </c>
      <c r="F10" s="8">
        <v>3249.281481481481</v>
      </c>
      <c r="G10" s="8">
        <v>2452.9863945578231</v>
      </c>
      <c r="H10" s="8">
        <v>796.29508692365835</v>
      </c>
      <c r="I10" s="8">
        <v>4719.5926012697964</v>
      </c>
      <c r="J10" s="8">
        <v>3633.9358583139442</v>
      </c>
      <c r="K10">
        <v>43029</v>
      </c>
      <c r="L10">
        <v>6.467166885640406E-2</v>
      </c>
      <c r="M10" t="s">
        <v>24</v>
      </c>
      <c r="N10" s="9">
        <v>1.2303396522763471E-2</v>
      </c>
      <c r="O10" s="13">
        <f>16 * (MIN(I10, J10)^2) / (Итог!$B$3^2)</f>
        <v>211.28783715743842</v>
      </c>
    </row>
    <row r="11" spans="1:15" x14ac:dyDescent="0.25">
      <c r="A11" t="s">
        <v>27</v>
      </c>
      <c r="B11">
        <v>699</v>
      </c>
      <c r="C11">
        <v>482</v>
      </c>
      <c r="D11">
        <v>494</v>
      </c>
      <c r="E11">
        <v>976</v>
      </c>
      <c r="F11" s="8">
        <v>2422.286307053942</v>
      </c>
      <c r="G11" s="8">
        <v>2574.3522267206481</v>
      </c>
      <c r="H11" s="8">
        <v>-152.0659196667057</v>
      </c>
      <c r="I11" s="8">
        <v>3906.8178974938301</v>
      </c>
      <c r="J11" s="8">
        <v>4082.8513558716591</v>
      </c>
      <c r="K11">
        <v>114960.5</v>
      </c>
      <c r="L11">
        <v>0.30962160412467149</v>
      </c>
      <c r="M11" t="s">
        <v>24</v>
      </c>
      <c r="N11" s="9">
        <v>2.1290984053576489E-2</v>
      </c>
      <c r="O11" s="13">
        <f>16 * (MIN(I11, J11)^2) / (Итог!$B$3^2)</f>
        <v>244.21161734684978</v>
      </c>
    </row>
    <row r="12" spans="1:15" x14ac:dyDescent="0.25">
      <c r="A12" t="s">
        <v>27</v>
      </c>
      <c r="B12">
        <v>477</v>
      </c>
      <c r="C12">
        <v>382</v>
      </c>
      <c r="D12">
        <v>386</v>
      </c>
      <c r="E12">
        <v>768</v>
      </c>
      <c r="F12" s="8">
        <v>2259.623036649215</v>
      </c>
      <c r="G12" s="8">
        <v>2496.987046632124</v>
      </c>
      <c r="H12" s="8">
        <v>-237.36400998290989</v>
      </c>
      <c r="I12" s="8">
        <v>3482.8460937348032</v>
      </c>
      <c r="J12" s="8">
        <v>3881.9947185225428</v>
      </c>
      <c r="K12">
        <v>72517</v>
      </c>
      <c r="L12">
        <v>0.66408932515269381</v>
      </c>
      <c r="M12" t="s">
        <v>24</v>
      </c>
      <c r="N12" s="9">
        <v>1.6753561222486418E-2</v>
      </c>
      <c r="O12" s="13">
        <f>16 * (MIN(I12, J12)^2) / (Итог!$B$3^2)</f>
        <v>194.08347060230042</v>
      </c>
    </row>
    <row r="13" spans="1:15" x14ac:dyDescent="0.25">
      <c r="A13" t="s">
        <v>27</v>
      </c>
      <c r="B13">
        <v>544</v>
      </c>
      <c r="C13">
        <v>377</v>
      </c>
      <c r="D13">
        <v>416</v>
      </c>
      <c r="E13">
        <v>793</v>
      </c>
      <c r="F13" s="8">
        <v>2621.4270557029181</v>
      </c>
      <c r="G13" s="8">
        <v>2635.5480769230771</v>
      </c>
      <c r="H13" s="8">
        <v>-14.12102122015949</v>
      </c>
      <c r="I13" s="8">
        <v>3714.8947510376788</v>
      </c>
      <c r="J13" s="8">
        <v>4639.8207461839838</v>
      </c>
      <c r="K13">
        <v>81862</v>
      </c>
      <c r="L13">
        <v>0.24336356796506539</v>
      </c>
      <c r="M13" t="s">
        <v>24</v>
      </c>
      <c r="N13" s="9">
        <v>1.7298924543530901E-2</v>
      </c>
      <c r="O13" s="13">
        <f>16 * (MIN(I13, J13)^2) / (Итог!$B$3^2)</f>
        <v>220.80708818059676</v>
      </c>
    </row>
    <row r="14" spans="1:15" x14ac:dyDescent="0.25">
      <c r="A14" t="s">
        <v>27</v>
      </c>
      <c r="B14">
        <v>516</v>
      </c>
      <c r="C14">
        <v>634</v>
      </c>
      <c r="D14">
        <v>636</v>
      </c>
      <c r="E14">
        <v>1270</v>
      </c>
      <c r="F14" s="8">
        <v>3245.2003154574131</v>
      </c>
      <c r="G14" s="8">
        <v>2880.48427672956</v>
      </c>
      <c r="H14" s="8">
        <v>364.71603872785317</v>
      </c>
      <c r="I14" s="8">
        <v>4543.1692617437084</v>
      </c>
      <c r="J14" s="8">
        <v>3819.2928134705862</v>
      </c>
      <c r="K14">
        <v>206967</v>
      </c>
      <c r="L14">
        <v>0.38850272103589861</v>
      </c>
      <c r="M14" t="s">
        <v>24</v>
      </c>
      <c r="N14" s="9">
        <v>2.770445670905957E-2</v>
      </c>
      <c r="O14" s="13">
        <f>16 * (MIN(I14, J14)^2) / (Итог!$B$3^2)</f>
        <v>233.39196152044906</v>
      </c>
    </row>
    <row r="15" spans="1:15" x14ac:dyDescent="0.25">
      <c r="A15" t="s">
        <v>27</v>
      </c>
      <c r="B15">
        <v>439</v>
      </c>
      <c r="C15">
        <v>355</v>
      </c>
      <c r="D15">
        <v>351</v>
      </c>
      <c r="E15">
        <v>706</v>
      </c>
      <c r="F15" s="8">
        <v>2481.9605633802821</v>
      </c>
      <c r="G15" s="8">
        <v>2400.635327635327</v>
      </c>
      <c r="H15" s="8">
        <v>81.325235744954171</v>
      </c>
      <c r="I15" s="8">
        <v>4040.4410068102538</v>
      </c>
      <c r="J15" s="8">
        <v>3722.1170724360341</v>
      </c>
      <c r="K15">
        <v>62211</v>
      </c>
      <c r="L15">
        <v>0.97057171621936644</v>
      </c>
      <c r="M15" t="s">
        <v>24</v>
      </c>
      <c r="N15" s="9">
        <v>1.540106018629611E-2</v>
      </c>
      <c r="O15" s="13">
        <f>16 * (MIN(I15, J15)^2) / (Итог!$B$3^2)</f>
        <v>221.66648801471669</v>
      </c>
    </row>
    <row r="16" spans="1:15" x14ac:dyDescent="0.25">
      <c r="A16" t="s">
        <v>14</v>
      </c>
      <c r="B16">
        <v>394</v>
      </c>
      <c r="C16">
        <v>104</v>
      </c>
      <c r="D16">
        <v>85</v>
      </c>
      <c r="E16">
        <v>189</v>
      </c>
      <c r="F16" s="8">
        <v>1229.6442307692309</v>
      </c>
      <c r="G16" s="8">
        <v>973.62352941176471</v>
      </c>
      <c r="H16" s="8">
        <v>256.02070135746601</v>
      </c>
      <c r="I16" s="8">
        <v>2208.2278398271669</v>
      </c>
      <c r="J16" s="8">
        <v>1940.8548250244589</v>
      </c>
      <c r="K16">
        <v>4683</v>
      </c>
      <c r="L16">
        <v>0.37572280719938839</v>
      </c>
      <c r="M16" t="s">
        <v>24</v>
      </c>
      <c r="N16" s="9">
        <v>4.1229467070962684E-3</v>
      </c>
      <c r="O16" s="13">
        <f>16 * (MIN(I16, J16)^2) / (Итог!$B$3^2)</f>
        <v>60.270679229131574</v>
      </c>
    </row>
    <row r="17" spans="1:15" x14ac:dyDescent="0.25">
      <c r="A17" t="s">
        <v>14</v>
      </c>
      <c r="B17">
        <v>576</v>
      </c>
      <c r="C17">
        <v>630</v>
      </c>
      <c r="D17">
        <v>657</v>
      </c>
      <c r="E17">
        <v>1287</v>
      </c>
      <c r="F17" s="8">
        <v>1594.436507936508</v>
      </c>
      <c r="G17" s="8">
        <v>1342.1293759512939</v>
      </c>
      <c r="H17" s="8">
        <v>252.30713198521431</v>
      </c>
      <c r="I17" s="8">
        <v>2683.7272105777388</v>
      </c>
      <c r="J17" s="8">
        <v>2415.8226638760748</v>
      </c>
      <c r="K17">
        <v>215749</v>
      </c>
      <c r="L17">
        <v>0.113618864823118</v>
      </c>
      <c r="M17" t="s">
        <v>24</v>
      </c>
      <c r="N17" s="9">
        <v>2.807530376736982E-2</v>
      </c>
      <c r="O17" s="13">
        <f>16 * (MIN(I17, J17)^2) / (Итог!$B$3^2)</f>
        <v>93.3791862927567</v>
      </c>
    </row>
    <row r="18" spans="1:15" x14ac:dyDescent="0.25">
      <c r="A18" t="s">
        <v>14</v>
      </c>
      <c r="B18">
        <v>309</v>
      </c>
      <c r="C18">
        <v>240</v>
      </c>
      <c r="D18">
        <v>238</v>
      </c>
      <c r="E18">
        <v>478</v>
      </c>
      <c r="F18" s="8">
        <v>2706.2791666666672</v>
      </c>
      <c r="G18" s="8">
        <v>2392.8949579831929</v>
      </c>
      <c r="H18" s="8">
        <v>313.38420868347339</v>
      </c>
      <c r="I18" s="8">
        <v>2814.9398488604011</v>
      </c>
      <c r="J18" s="8">
        <v>2761.9387158176169</v>
      </c>
      <c r="K18">
        <v>30492.5</v>
      </c>
      <c r="L18">
        <v>0.18329299970019061</v>
      </c>
      <c r="M18" t="s">
        <v>24</v>
      </c>
      <c r="N18" s="9">
        <v>1.0427346698370451E-2</v>
      </c>
      <c r="O18" s="13">
        <f>16 * (MIN(I18, J18)^2) / (Итог!$B$3^2)</f>
        <v>122.05288751891626</v>
      </c>
    </row>
    <row r="19" spans="1:15" x14ac:dyDescent="0.25">
      <c r="A19" t="s">
        <v>16</v>
      </c>
      <c r="B19">
        <v>6543</v>
      </c>
      <c r="C19">
        <v>662</v>
      </c>
      <c r="D19">
        <v>689</v>
      </c>
      <c r="E19">
        <v>1351</v>
      </c>
      <c r="F19" s="8">
        <v>1715.486404833837</v>
      </c>
      <c r="G19" s="8">
        <v>1528.3251088534109</v>
      </c>
      <c r="H19" s="8">
        <v>187.1612959804261</v>
      </c>
      <c r="I19" s="8">
        <v>2457.368732057007</v>
      </c>
      <c r="J19" s="8">
        <v>2338.5220633259491</v>
      </c>
      <c r="K19">
        <v>235847.5</v>
      </c>
      <c r="L19">
        <v>0.2218306119387238</v>
      </c>
      <c r="M19" t="s">
        <v>24</v>
      </c>
      <c r="N19" s="9">
        <v>2.9471433869243689E-2</v>
      </c>
      <c r="O19" s="13">
        <f>16 * (MIN(I19, J19)^2) / (Итог!$B$3^2)</f>
        <v>87.498967050596079</v>
      </c>
    </row>
    <row r="20" spans="1:15" x14ac:dyDescent="0.25">
      <c r="A20" t="s">
        <v>16</v>
      </c>
      <c r="B20">
        <v>3987</v>
      </c>
      <c r="C20">
        <v>801</v>
      </c>
      <c r="D20">
        <v>785</v>
      </c>
      <c r="E20">
        <v>1586</v>
      </c>
      <c r="F20" s="8">
        <v>1602.995006242197</v>
      </c>
      <c r="G20" s="8">
        <v>1639.857324840764</v>
      </c>
      <c r="H20" s="8">
        <v>-36.862318598567072</v>
      </c>
      <c r="I20" s="8">
        <v>2518.8292052012962</v>
      </c>
      <c r="J20" s="8">
        <v>2686.3174166097829</v>
      </c>
      <c r="K20">
        <v>312182.5</v>
      </c>
      <c r="L20">
        <v>0.78272076081410702</v>
      </c>
      <c r="M20" t="s">
        <v>24</v>
      </c>
      <c r="N20" s="9">
        <v>3.4597849087061802E-2</v>
      </c>
      <c r="O20" s="13">
        <f>16 * (MIN(I20, J20)^2) / (Итог!$B$3^2)</f>
        <v>101.51200903959989</v>
      </c>
    </row>
    <row r="21" spans="1:15" x14ac:dyDescent="0.25">
      <c r="A21" t="s">
        <v>16</v>
      </c>
      <c r="B21">
        <v>8543</v>
      </c>
      <c r="C21">
        <v>148</v>
      </c>
      <c r="D21">
        <v>140</v>
      </c>
      <c r="E21">
        <v>288</v>
      </c>
      <c r="F21" s="8">
        <v>1859.7770270270271</v>
      </c>
      <c r="G21" s="8">
        <v>1804.25</v>
      </c>
      <c r="H21" s="8">
        <v>55.527027027027088</v>
      </c>
      <c r="I21" s="8">
        <v>2568.9804293811749</v>
      </c>
      <c r="J21" s="8">
        <v>3015.7266304677269</v>
      </c>
      <c r="K21">
        <v>10949</v>
      </c>
      <c r="L21">
        <v>0.34992175029286438</v>
      </c>
      <c r="M21" t="s">
        <v>24</v>
      </c>
      <c r="N21" s="9">
        <v>6.2825854584324077E-3</v>
      </c>
      <c r="O21" s="13">
        <f>16 * (MIN(I21, J21)^2) / (Итог!$B$3^2)</f>
        <v>105.59456714469577</v>
      </c>
    </row>
    <row r="22" spans="1:15" x14ac:dyDescent="0.25">
      <c r="A22" t="s">
        <v>16</v>
      </c>
      <c r="B22">
        <v>2212</v>
      </c>
      <c r="C22">
        <v>422</v>
      </c>
      <c r="D22">
        <v>397</v>
      </c>
      <c r="E22">
        <v>819</v>
      </c>
      <c r="F22" s="8">
        <v>2827.2369668246452</v>
      </c>
      <c r="G22" s="8">
        <v>2739.3627204030231</v>
      </c>
      <c r="H22" s="8">
        <v>87.874246421622047</v>
      </c>
      <c r="I22" s="8">
        <v>3197.5429641908459</v>
      </c>
      <c r="J22" s="8">
        <v>2446.9750361819461</v>
      </c>
      <c r="K22">
        <v>82038</v>
      </c>
      <c r="L22">
        <v>0.60295344191032063</v>
      </c>
      <c r="M22" t="s">
        <v>24</v>
      </c>
      <c r="N22" s="9">
        <v>1.786610239741716E-2</v>
      </c>
      <c r="O22" s="13">
        <f>16 * (MIN(I22, J22)^2) / (Итог!$B$3^2)</f>
        <v>95.802989243162187</v>
      </c>
    </row>
    <row r="23" spans="1:15" x14ac:dyDescent="0.25">
      <c r="A23" t="s">
        <v>16</v>
      </c>
      <c r="B23">
        <v>9121</v>
      </c>
      <c r="C23">
        <v>131</v>
      </c>
      <c r="D23">
        <v>108</v>
      </c>
      <c r="E23">
        <v>239</v>
      </c>
      <c r="F23" s="8">
        <v>1976.854961832061</v>
      </c>
      <c r="G23" s="8">
        <v>1856.9444444444439</v>
      </c>
      <c r="H23" s="8">
        <v>119.91051738761669</v>
      </c>
      <c r="I23" s="8">
        <v>2605.7974274007302</v>
      </c>
      <c r="J23" s="8">
        <v>2442.3261657052421</v>
      </c>
      <c r="K23">
        <v>7158.5</v>
      </c>
      <c r="L23">
        <v>0.86371651231460389</v>
      </c>
      <c r="M23" t="s">
        <v>24</v>
      </c>
      <c r="N23" s="9">
        <v>5.213673349185227E-3</v>
      </c>
      <c r="O23" s="13">
        <f>16 * (MIN(I23, J23)^2) / (Итог!$B$3^2)</f>
        <v>95.43931359501552</v>
      </c>
    </row>
    <row r="24" spans="1:15" x14ac:dyDescent="0.25">
      <c r="A24" t="s">
        <v>16</v>
      </c>
      <c r="B24">
        <v>3786</v>
      </c>
      <c r="C24">
        <v>237</v>
      </c>
      <c r="D24">
        <v>278</v>
      </c>
      <c r="E24">
        <v>515</v>
      </c>
      <c r="F24" s="8">
        <v>2636.658227848101</v>
      </c>
      <c r="G24" s="8">
        <v>2688.2302158273378</v>
      </c>
      <c r="H24" s="8">
        <v>-51.571987979236837</v>
      </c>
      <c r="I24" s="8">
        <v>2713.063676741257</v>
      </c>
      <c r="J24" s="8">
        <v>3292.9376410463851</v>
      </c>
      <c r="K24">
        <v>33262.5</v>
      </c>
      <c r="L24">
        <v>0.84599709027785308</v>
      </c>
      <c r="M24" t="s">
        <v>24</v>
      </c>
      <c r="N24" s="9">
        <v>1.123448441351628E-2</v>
      </c>
      <c r="O24" s="13">
        <f>16 * (MIN(I24, J24)^2) / (Итог!$B$3^2)</f>
        <v>117.7714322248446</v>
      </c>
    </row>
    <row r="25" spans="1:15" x14ac:dyDescent="0.25">
      <c r="A25" t="s">
        <v>28</v>
      </c>
      <c r="B25">
        <v>80</v>
      </c>
      <c r="C25">
        <v>844</v>
      </c>
      <c r="D25">
        <v>880</v>
      </c>
      <c r="E25">
        <v>1724</v>
      </c>
      <c r="F25" s="8">
        <v>2517.3305687203788</v>
      </c>
      <c r="G25" s="8">
        <v>2511.9727272727268</v>
      </c>
      <c r="H25" s="8">
        <v>5.3578414476519356</v>
      </c>
      <c r="I25" s="8">
        <v>2797.1230332385999</v>
      </c>
      <c r="J25" s="8">
        <v>2824.719932223567</v>
      </c>
      <c r="K25">
        <v>373965</v>
      </c>
      <c r="L25">
        <v>0.79312356646279047</v>
      </c>
      <c r="M25" t="s">
        <v>24</v>
      </c>
      <c r="N25" s="9">
        <v>3.760825461922733E-2</v>
      </c>
      <c r="O25" s="13">
        <f>16 * (MIN(I25, J25)^2) / (Итог!$B$3^2)</f>
        <v>125.18235620918249</v>
      </c>
    </row>
    <row r="26" spans="1:15" x14ac:dyDescent="0.25">
      <c r="A26" t="s">
        <v>28</v>
      </c>
      <c r="B26">
        <v>82</v>
      </c>
      <c r="C26">
        <v>169</v>
      </c>
      <c r="D26">
        <v>229</v>
      </c>
      <c r="E26">
        <v>398</v>
      </c>
      <c r="F26" s="8">
        <v>2586.0118343195272</v>
      </c>
      <c r="G26" s="8">
        <v>2655.6724890829701</v>
      </c>
      <c r="H26" s="8">
        <v>-69.660654763442835</v>
      </c>
      <c r="I26" s="8">
        <v>2676.4355627004538</v>
      </c>
      <c r="J26" s="8">
        <v>2929.3636863964912</v>
      </c>
      <c r="K26">
        <v>19563</v>
      </c>
      <c r="L26">
        <v>0.84694140970637011</v>
      </c>
      <c r="M26" t="s">
        <v>24</v>
      </c>
      <c r="N26" s="9">
        <v>8.6821840710281182E-3</v>
      </c>
      <c r="O26" s="13">
        <f>16 * (MIN(I26, J26)^2) / (Итог!$B$3^2)</f>
        <v>114.61291714060313</v>
      </c>
    </row>
    <row r="27" spans="1:15" x14ac:dyDescent="0.25">
      <c r="A27" t="s">
        <v>29</v>
      </c>
      <c r="B27">
        <v>88</v>
      </c>
      <c r="C27">
        <v>190</v>
      </c>
      <c r="D27">
        <v>167</v>
      </c>
      <c r="E27">
        <v>357</v>
      </c>
      <c r="F27" s="8">
        <v>2902.410526315789</v>
      </c>
      <c r="G27" s="8">
        <v>2439.4610778443121</v>
      </c>
      <c r="H27" s="8">
        <v>462.94944847147781</v>
      </c>
      <c r="I27" s="8">
        <v>3074.648886892026</v>
      </c>
      <c r="J27" s="8">
        <v>2689.3430530913829</v>
      </c>
      <c r="K27">
        <v>17020.5</v>
      </c>
      <c r="L27">
        <v>0.22134177144014491</v>
      </c>
      <c r="M27" t="s">
        <v>24</v>
      </c>
      <c r="N27" s="9">
        <v>7.7877882245151724E-3</v>
      </c>
      <c r="O27" s="13">
        <f>16 * (MIN(I27, J27)^2) / (Итог!$B$3^2)</f>
        <v>115.72105691537409</v>
      </c>
    </row>
    <row r="28" spans="1:15" x14ac:dyDescent="0.25">
      <c r="A28" t="s">
        <v>30</v>
      </c>
      <c r="B28">
        <v>72</v>
      </c>
      <c r="C28">
        <v>609</v>
      </c>
      <c r="D28">
        <v>639</v>
      </c>
      <c r="E28">
        <v>1248</v>
      </c>
      <c r="F28" s="8">
        <v>2371.4334975369461</v>
      </c>
      <c r="G28" s="8">
        <v>2523.3755868544599</v>
      </c>
      <c r="H28" s="8">
        <v>-151.9420893175143</v>
      </c>
      <c r="I28" s="8">
        <v>2906.8244575313529</v>
      </c>
      <c r="J28" s="8">
        <v>2795.9171755336051</v>
      </c>
      <c r="K28">
        <v>185952</v>
      </c>
      <c r="L28">
        <v>0.15543372081209991</v>
      </c>
      <c r="M28" t="s">
        <v>24</v>
      </c>
      <c r="N28" s="9">
        <v>2.722453698654043E-2</v>
      </c>
      <c r="O28" s="13">
        <f>16 * (MIN(I28, J28)^2) / (Итог!$B$3^2)</f>
        <v>125.074445639101</v>
      </c>
    </row>
    <row r="29" spans="1:15" x14ac:dyDescent="0.25">
      <c r="A29" t="s">
        <v>30</v>
      </c>
      <c r="B29">
        <v>73</v>
      </c>
      <c r="C29">
        <v>187</v>
      </c>
      <c r="D29">
        <v>167</v>
      </c>
      <c r="E29">
        <v>354</v>
      </c>
      <c r="F29" s="8">
        <v>2092.181818181818</v>
      </c>
      <c r="G29" s="8">
        <v>2521.958083832335</v>
      </c>
      <c r="H29" s="8">
        <v>-429.77626565051742</v>
      </c>
      <c r="I29" s="8">
        <v>2530.2746480809951</v>
      </c>
      <c r="J29" s="8">
        <v>2875.45963293559</v>
      </c>
      <c r="K29">
        <v>14397</v>
      </c>
      <c r="L29">
        <v>0.18342811005486809</v>
      </c>
      <c r="M29" t="s">
        <v>24</v>
      </c>
      <c r="N29" s="9">
        <v>7.7223446259898354E-3</v>
      </c>
      <c r="O29" s="13">
        <f>16 * (MIN(I29, J29)^2) / (Итог!$B$3^2)</f>
        <v>102.43663671554246</v>
      </c>
    </row>
    <row r="30" spans="1:15" x14ac:dyDescent="0.25">
      <c r="A30" t="s">
        <v>22</v>
      </c>
      <c r="B30">
        <v>1989</v>
      </c>
      <c r="C30">
        <v>239</v>
      </c>
      <c r="D30">
        <v>270</v>
      </c>
      <c r="E30">
        <v>509</v>
      </c>
      <c r="F30" s="8">
        <v>4407.3849372384939</v>
      </c>
      <c r="G30" s="8">
        <v>4163.9592592592589</v>
      </c>
      <c r="H30" s="8">
        <v>243.42567797923491</v>
      </c>
      <c r="I30" s="8">
        <v>2737.9007251199769</v>
      </c>
      <c r="J30" s="8">
        <v>2492.0962933115161</v>
      </c>
      <c r="K30">
        <v>33360.5</v>
      </c>
      <c r="L30">
        <v>0.50847140726151996</v>
      </c>
      <c r="M30" t="s">
        <v>24</v>
      </c>
      <c r="N30" s="9">
        <v>1.1103597216465611E-2</v>
      </c>
      <c r="O30" s="13">
        <f>16 * (MIN(I30, J30)^2) / (Итог!$B$3^2)</f>
        <v>99.368702962191975</v>
      </c>
    </row>
    <row r="31" spans="1:15" x14ac:dyDescent="0.25">
      <c r="A31" t="s">
        <v>31</v>
      </c>
      <c r="B31">
        <v>69</v>
      </c>
      <c r="C31">
        <v>75</v>
      </c>
      <c r="D31">
        <v>78</v>
      </c>
      <c r="E31">
        <v>153</v>
      </c>
      <c r="F31" s="8">
        <v>1171.4533333333329</v>
      </c>
      <c r="G31" s="8">
        <v>600.15384615384619</v>
      </c>
      <c r="H31" s="8">
        <v>571.29948717948719</v>
      </c>
      <c r="I31" s="8">
        <v>2578.1041027632468</v>
      </c>
      <c r="J31" s="8">
        <v>1690.1397550523429</v>
      </c>
      <c r="K31">
        <v>3159.5</v>
      </c>
      <c r="L31">
        <v>0.19868569514015841</v>
      </c>
      <c r="M31" t="s">
        <v>24</v>
      </c>
      <c r="N31" s="9">
        <v>3.3376235247922171E-3</v>
      </c>
      <c r="O31" s="13">
        <f>16 * (MIN(I31, J31)^2) / (Итог!$B$3^2)</f>
        <v>45.705158265734298</v>
      </c>
    </row>
    <row r="32" spans="1:15" x14ac:dyDescent="0.25">
      <c r="A32" t="s">
        <v>32</v>
      </c>
      <c r="B32">
        <v>23</v>
      </c>
      <c r="C32">
        <v>124</v>
      </c>
      <c r="D32">
        <v>107</v>
      </c>
      <c r="E32">
        <v>231</v>
      </c>
      <c r="F32" s="8">
        <v>1384.6290322580651</v>
      </c>
      <c r="G32" s="8">
        <v>1315.981308411215</v>
      </c>
      <c r="H32" s="8">
        <v>68.647723846849658</v>
      </c>
      <c r="I32" s="8">
        <v>2471.6917759396779</v>
      </c>
      <c r="J32" s="8">
        <v>2220.0107129662838</v>
      </c>
      <c r="K32">
        <v>6536</v>
      </c>
      <c r="L32">
        <v>0.81621366871383505</v>
      </c>
      <c r="M32" t="s">
        <v>24</v>
      </c>
      <c r="N32" s="9">
        <v>5.0391570864509938E-3</v>
      </c>
      <c r="O32" s="13">
        <f>16 * (MIN(I32, J32)^2) / (Итог!$B$3^2)</f>
        <v>78.855161050961073</v>
      </c>
    </row>
    <row r="33" spans="1:15" x14ac:dyDescent="0.25">
      <c r="A33" t="s">
        <v>33</v>
      </c>
      <c r="B33">
        <v>2</v>
      </c>
      <c r="C33">
        <v>78</v>
      </c>
      <c r="D33">
        <v>71</v>
      </c>
      <c r="E33">
        <v>149</v>
      </c>
      <c r="F33" s="8">
        <v>579.33333333333337</v>
      </c>
      <c r="G33" s="8">
        <v>483.45070422535213</v>
      </c>
      <c r="H33" s="8">
        <v>95.882629107981245</v>
      </c>
      <c r="I33" s="8">
        <v>1860.7624304329711</v>
      </c>
      <c r="J33" s="8">
        <v>1654.923181546782</v>
      </c>
      <c r="K33">
        <v>2816</v>
      </c>
      <c r="L33">
        <v>0.74225517894428794</v>
      </c>
      <c r="M33" t="s">
        <v>24</v>
      </c>
      <c r="N33" s="9">
        <v>3.2503653934251001E-3</v>
      </c>
      <c r="O33" s="13">
        <f>16 * (MIN(I33, J33)^2) / (Итог!$B$3^2)</f>
        <v>43.820331789134769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DD0B-FC37-4438-B541-B3B530775DBD}">
  <dimension ref="A1:B8"/>
  <sheetViews>
    <sheetView workbookViewId="0">
      <selection activeCell="C15" sqref="C15"/>
    </sheetView>
  </sheetViews>
  <sheetFormatPr defaultRowHeight="15" x14ac:dyDescent="0.25"/>
  <cols>
    <col min="1" max="1" width="24" bestFit="1" customWidth="1"/>
    <col min="2" max="2" width="14.28515625" customWidth="1"/>
  </cols>
  <sheetData>
    <row r="1" spans="1:2" x14ac:dyDescent="0.25">
      <c r="A1" s="1" t="s">
        <v>34</v>
      </c>
      <c r="B1" s="1"/>
    </row>
    <row r="2" spans="1:2" x14ac:dyDescent="0.25">
      <c r="A2" s="2" t="s">
        <v>35</v>
      </c>
      <c r="B2" s="3">
        <v>1000</v>
      </c>
    </row>
    <row r="3" spans="1:2" x14ac:dyDescent="0.25">
      <c r="A3" s="2" t="s">
        <v>36</v>
      </c>
      <c r="B3" s="4">
        <v>1000</v>
      </c>
    </row>
    <row r="4" spans="1:2" x14ac:dyDescent="0.25">
      <c r="A4" s="1" t="s">
        <v>37</v>
      </c>
      <c r="B4" s="1"/>
    </row>
    <row r="5" spans="1:2" x14ac:dyDescent="0.25">
      <c r="A5" s="2" t="s">
        <v>43</v>
      </c>
      <c r="B5" s="14">
        <f>SUM(Положительный!O:O)</f>
        <v>262631.65205793519</v>
      </c>
    </row>
    <row r="6" spans="1:2" x14ac:dyDescent="0.25">
      <c r="A6" s="2" t="s">
        <v>44</v>
      </c>
      <c r="B6" s="15">
        <f>SUM(Отрицательный!O:O)</f>
        <v>-25321.516669978439</v>
      </c>
    </row>
    <row r="7" spans="1:2" x14ac:dyDescent="0.25">
      <c r="A7" s="2" t="s">
        <v>38</v>
      </c>
      <c r="B7" s="14">
        <f>B5+B6</f>
        <v>237310.13538795675</v>
      </c>
    </row>
    <row r="8" spans="1:2" x14ac:dyDescent="0.25">
      <c r="A8" s="2" t="s">
        <v>39</v>
      </c>
      <c r="B8" s="5">
        <f>SUM(Нейтральный!O:O)</f>
        <v>3977.9521926627717</v>
      </c>
    </row>
  </sheetData>
  <mergeCells count="2">
    <mergeCell ref="A1:B1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Положительный</vt:lpstr>
      <vt:lpstr>Отрицательный</vt:lpstr>
      <vt:lpstr>Нейтральный</vt:lpstr>
      <vt:lpstr>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 155.2</cp:lastModifiedBy>
  <dcterms:created xsi:type="dcterms:W3CDTF">2026-08-08T16:22:53Z</dcterms:created>
  <dcterms:modified xsi:type="dcterms:W3CDTF">2026-08-08T17:00:43Z</dcterms:modified>
</cp:coreProperties>
</file>